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carl\OneDrive\Escritorio\ahp_portfolio\"/>
    </mc:Choice>
  </mc:AlternateContent>
  <xr:revisionPtr revIDLastSave="0" documentId="13_ncr:1_{D362729B-6CFE-4BB9-8942-383F10AA5F9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1. Perfil del inversor" sheetId="1" r:id="rId1"/>
    <sheet name="3. Portafolios candidatos" sheetId="2" r:id="rId2"/>
    <sheet name="4. Matrices AHP" sheetId="3" r:id="rId3"/>
    <sheet name="5. Ranking AHP final" sheetId="4" r:id="rId4"/>
  </sheets>
  <calcPr calcId="0"/>
</workbook>
</file>

<file path=xl/sharedStrings.xml><?xml version="1.0" encoding="utf-8"?>
<sst xmlns="http://schemas.openxmlformats.org/spreadsheetml/2006/main" count="132" uniqueCount="86">
  <si>
    <t>Perfil: MODERADO</t>
  </si>
  <si>
    <t>Configuración del perfil</t>
  </si>
  <si>
    <t>Capitalización mínima</t>
  </si>
  <si>
    <t>$5B</t>
  </si>
  <si>
    <t>Volumen medio mínimo</t>
  </si>
  <si>
    <t>750,000</t>
  </si>
  <si>
    <t>Acciones por índice</t>
  </si>
  <si>
    <t>50</t>
  </si>
  <si>
    <t>N acciones finales</t>
  </si>
  <si>
    <t>8</t>
  </si>
  <si>
    <t>Descripción</t>
  </si>
  <si>
    <t>Mid-large caps diversificadas</t>
  </si>
  <si>
    <t>Pesos AHP por criterio</t>
  </si>
  <si>
    <t>Categoría</t>
  </si>
  <si>
    <t>Criterio</t>
  </si>
  <si>
    <t>Dirección</t>
  </si>
  <si>
    <t>Peso (1-9)</t>
  </si>
  <si>
    <t>Rendimiento</t>
  </si>
  <si>
    <t>Rentabilidad anualizada</t>
  </si>
  <si>
    <t>MAXIMIZE</t>
  </si>
  <si>
    <t>Ratio de Sharpe</t>
  </si>
  <si>
    <t>Ratio de Sortino</t>
  </si>
  <si>
    <t>Alpha de Jensen</t>
  </si>
  <si>
    <t>Riesgo</t>
  </si>
  <si>
    <t>Volatilidad (desv. est.)</t>
  </si>
  <si>
    <t>MINIMIZE</t>
  </si>
  <si>
    <t>VaR 95%</t>
  </si>
  <si>
    <t>CVaR / Expected Shortfall</t>
  </si>
  <si>
    <t>Max Drawdown</t>
  </si>
  <si>
    <t>Eficiencia</t>
  </si>
  <si>
    <t>Beta del portafolio</t>
  </si>
  <si>
    <t>Tracking error vs benchmark</t>
  </si>
  <si>
    <t>Rentabilidad − Coste capital</t>
  </si>
  <si>
    <t>Estabilidad</t>
  </si>
  <si>
    <t>Coeficiente de variación</t>
  </si>
  <si>
    <t>Asimetría (Skewness)</t>
  </si>
  <si>
    <t>Diversificacion</t>
  </si>
  <si>
    <t>Correlación media inter-activos</t>
  </si>
  <si>
    <t>Diversificación geográfica</t>
  </si>
  <si>
    <t>Portafolios candidatos para análisis AHP</t>
  </si>
  <si>
    <t>Portafolio</t>
  </si>
  <si>
    <t>Rentabilidad</t>
  </si>
  <si>
    <t>Sharpe</t>
  </si>
  <si>
    <t>Sortino</t>
  </si>
  <si>
    <t>Alpha</t>
  </si>
  <si>
    <t>Volatilidad</t>
  </si>
  <si>
    <t>CVaR 95%</t>
  </si>
  <si>
    <t>Beta</t>
  </si>
  <si>
    <t>Track. Error</t>
  </si>
  <si>
    <t>Rentab-kp</t>
  </si>
  <si>
    <t>C.V.</t>
  </si>
  <si>
    <t>Asimetría</t>
  </si>
  <si>
    <t>Corr. media</t>
  </si>
  <si>
    <t>Div. geográf.</t>
  </si>
  <si>
    <t>P1</t>
  </si>
  <si>
    <t>P2</t>
  </si>
  <si>
    <t>P3</t>
  </si>
  <si>
    <t>P4</t>
  </si>
  <si>
    <t>P5</t>
  </si>
  <si>
    <t>Análisis de consistencia AHP</t>
  </si>
  <si>
    <t>Elemento</t>
  </si>
  <si>
    <t>Ratio Consistencia (CR)</t>
  </si>
  <si>
    <t>Consistente (CR &lt; 0.10)</t>
  </si>
  <si>
    <t>Matriz de criterios</t>
  </si>
  <si>
    <t>SÍ</t>
  </si>
  <si>
    <t>Alternativas (Rentabilidad anualizada)</t>
  </si>
  <si>
    <t>Alternativas (Ratio de Sharpe)</t>
  </si>
  <si>
    <t>Alternativas (Ratio de Sortino)</t>
  </si>
  <si>
    <t>Alternativas (Alpha de Jensen)</t>
  </si>
  <si>
    <t>Alternativas (Volatilidad (desv. est.))</t>
  </si>
  <si>
    <t>Alternativas (VaR 95%)</t>
  </si>
  <si>
    <t>Alternativas (CVaR / Expected Shortfall)</t>
  </si>
  <si>
    <t>Alternativas (Max Drawdown)</t>
  </si>
  <si>
    <t>Alternativas (Beta del portafolio)</t>
  </si>
  <si>
    <t>Alternativas (Tracking error vs benchmark)</t>
  </si>
  <si>
    <t>Alternativas (Rentabilidad − Coste capital)</t>
  </si>
  <si>
    <t>Alternativas (Coeficiente de variación)</t>
  </si>
  <si>
    <t>Alternativas (Asimetría (Skewness))</t>
  </si>
  <si>
    <t>Alternativas (Correlación media inter-activos)</t>
  </si>
  <si>
    <t>Alternativas (Diversificación geográfica)</t>
  </si>
  <si>
    <t>Ranking AHP — Perfil: MODERADO</t>
  </si>
  <si>
    <t>15 criterios · 5 categorías · Escala de Saaty (1-9)</t>
  </si>
  <si>
    <t>Ranking</t>
  </si>
  <si>
    <t>Puntuación AHP</t>
  </si>
  <si>
    <t>Puntuación (%)</t>
  </si>
  <si>
    <t>PORTAFOLIO RECOMENDADO: P4 (25.3%)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</si>
</sst>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&quot;%&quot;"/>
  </numFmts>
  <fonts count="8" x14ac:knownFonts="1">
    <font>
      <sz val="11"/>
      <color theme="1"/>
      <name val="Calibri"/>
      <family val="2"/>
      <scheme val="minor"/>
    </font>
    <font>
      <b/>
      <sz val="16"/>
      <color rgb="FF1F3864"/>
      <name val="Arial"/>
      <family val="2"/>
    </font>
    <font>
      <b/>
      <sz val="11"/>
      <color rgb="FF1F3864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548235"/>
      <name val="Arial"/>
      <family val="2"/>
    </font>
    <font>
      <sz val="9"/>
      <color rgb="FF666666"/>
      <name val="Arial"/>
      <family val="2"/>
    </font>
    <font>
      <b/>
      <sz val="12"/>
      <color rgb="FF54823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2E5090"/>
        <bgColor rgb="FF2E509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6" fillId="0" borderId="0" xfId="0" applyFont="1"/>
    <xf numFmtId="164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ES"/>
              <a:t>Puntuación AHP por portafolio (moderado)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'5. Ranking AHP final'!$D$4</c:f>
              <c:strCache>
                <c:ptCount val="1"/>
                <c:pt idx="0">
                  <c:v>Puntuación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'5. Ranking AHP final'!$B$5:$B$9</c:f>
              <c:strCache>
                <c:ptCount val="5"/>
                <c:pt idx="0">
                  <c:v>P4</c:v>
                </c:pt>
                <c:pt idx="1">
                  <c:v>P1</c:v>
                </c:pt>
                <c:pt idx="2">
                  <c:v>P5</c:v>
                </c:pt>
                <c:pt idx="3">
                  <c:v>P2</c:v>
                </c:pt>
                <c:pt idx="4">
                  <c:v>P3</c:v>
                </c:pt>
              </c:strCache>
            </c:strRef>
          </c:cat>
          <c:val>
            <c:numRef>
              <c:f>'5. Ranking AHP final'!$D$5:$D$9</c:f>
              <c:numCache>
                <c:formatCode>0.0"%"</c:formatCode>
                <c:ptCount val="5"/>
                <c:pt idx="0">
                  <c:v>25.3</c:v>
                </c:pt>
                <c:pt idx="1">
                  <c:v>23.9</c:v>
                </c:pt>
                <c:pt idx="2">
                  <c:v>23</c:v>
                </c:pt>
                <c:pt idx="3">
                  <c:v>24.6</c:v>
                </c:pt>
                <c:pt idx="4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C-4236-89F9-318FC8324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Portafolio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Puntuación (%)</a:t>
                </a:r>
              </a:p>
            </c:rich>
          </c:tx>
          <c:overlay val="1"/>
        </c:title>
        <c:numFmt formatCode="0.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Distribución de preferencia AHP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'5. Ranking AHP final'!$D$4</c:f>
              <c:strCache>
                <c:ptCount val="1"/>
                <c:pt idx="0">
                  <c:v>Puntuación (%)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'5. Ranking AHP final'!$B$5:$B$9</c:f>
              <c:strCache>
                <c:ptCount val="5"/>
                <c:pt idx="0">
                  <c:v>P4</c:v>
                </c:pt>
                <c:pt idx="1">
                  <c:v>P1</c:v>
                </c:pt>
                <c:pt idx="2">
                  <c:v>P5</c:v>
                </c:pt>
                <c:pt idx="3">
                  <c:v>P2</c:v>
                </c:pt>
                <c:pt idx="4">
                  <c:v>P3</c:v>
                </c:pt>
              </c:strCache>
            </c:strRef>
          </c:cat>
          <c:val>
            <c:numRef>
              <c:f>'5. Ranking AHP final'!$D$5:$D$9</c:f>
              <c:numCache>
                <c:formatCode>0.0"%"</c:formatCode>
                <c:ptCount val="5"/>
                <c:pt idx="0">
                  <c:v>25.3</c:v>
                </c:pt>
                <c:pt idx="1">
                  <c:v>23.9</c:v>
                </c:pt>
                <c:pt idx="2">
                  <c:v>23</c:v>
                </c:pt>
                <c:pt idx="3">
                  <c:v>24.6</c:v>
                </c:pt>
                <c:pt idx="4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0-43F3-B19C-67CEF993B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333375</xdr:colOff>
      <xdr:row>21</xdr:row>
      <xdr:rowOff>142875</xdr:rowOff>
    </xdr:from>
    <xdr:ext cx="50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6" workbookViewId="0">
      <selection activeCell="D11" sqref="D11"/>
    </sheetView>
  </sheetViews>
  <sheetFormatPr defaultRowHeight="14.25" x14ac:dyDescent="0.45"/>
  <cols>
    <col min="1" max="2" width="25" customWidth="1"/>
    <col min="3" max="3" width="11" customWidth="1"/>
    <col min="4" max="4" width="12" customWidth="1"/>
  </cols>
  <sheetData>
    <row r="1" spans="1:4" ht="20.65" x14ac:dyDescent="0.6">
      <c r="A1" s="19" t="s">
        <v>0</v>
      </c>
      <c r="B1" s="20"/>
      <c r="C1" s="20"/>
      <c r="D1" s="20"/>
    </row>
    <row r="3" spans="1:4" x14ac:dyDescent="0.45">
      <c r="A3" s="1" t="s">
        <v>1</v>
      </c>
    </row>
    <row r="5" spans="1:4" x14ac:dyDescent="0.45">
      <c r="A5" s="2" t="s">
        <v>2</v>
      </c>
      <c r="B5" s="3" t="s">
        <v>3</v>
      </c>
    </row>
    <row r="6" spans="1:4" x14ac:dyDescent="0.45">
      <c r="A6" s="2" t="s">
        <v>4</v>
      </c>
      <c r="B6" s="3" t="s">
        <v>5</v>
      </c>
    </row>
    <row r="7" spans="1:4" x14ac:dyDescent="0.45">
      <c r="A7" s="2" t="s">
        <v>6</v>
      </c>
      <c r="B7" s="3" t="s">
        <v>7</v>
      </c>
    </row>
    <row r="8" spans="1:4" x14ac:dyDescent="0.45">
      <c r="A8" s="2" t="s">
        <v>8</v>
      </c>
      <c r="B8" s="3" t="s">
        <v>9</v>
      </c>
    </row>
    <row r="9" spans="1:4" x14ac:dyDescent="0.45">
      <c r="A9" s="2" t="s">
        <v>10</v>
      </c>
      <c r="B9" s="3" t="s">
        <v>11</v>
      </c>
    </row>
    <row r="12" spans="1:4" x14ac:dyDescent="0.45">
      <c r="A12" s="1" t="s">
        <v>12</v>
      </c>
    </row>
    <row r="14" spans="1:4" x14ac:dyDescent="0.45">
      <c r="A14" s="4" t="s">
        <v>13</v>
      </c>
      <c r="B14" s="4" t="s">
        <v>14</v>
      </c>
      <c r="C14" s="4" t="s">
        <v>15</v>
      </c>
      <c r="D14" s="4" t="s">
        <v>16</v>
      </c>
    </row>
    <row r="15" spans="1:4" x14ac:dyDescent="0.45">
      <c r="A15" s="5" t="s">
        <v>17</v>
      </c>
      <c r="B15" s="5" t="s">
        <v>18</v>
      </c>
      <c r="C15" s="5" t="s">
        <v>19</v>
      </c>
      <c r="D15" s="5">
        <v>5</v>
      </c>
    </row>
    <row r="16" spans="1:4" x14ac:dyDescent="0.45">
      <c r="A16" s="6" t="s">
        <v>17</v>
      </c>
      <c r="B16" s="6" t="s">
        <v>20</v>
      </c>
      <c r="C16" s="6" t="s">
        <v>19</v>
      </c>
      <c r="D16" s="7">
        <v>8</v>
      </c>
    </row>
    <row r="17" spans="1:4" x14ac:dyDescent="0.45">
      <c r="A17" s="5" t="s">
        <v>17</v>
      </c>
      <c r="B17" s="5" t="s">
        <v>21</v>
      </c>
      <c r="C17" s="5" t="s">
        <v>19</v>
      </c>
      <c r="D17" s="7">
        <v>7</v>
      </c>
    </row>
    <row r="18" spans="1:4" x14ac:dyDescent="0.45">
      <c r="A18" s="6" t="s">
        <v>17</v>
      </c>
      <c r="B18" s="6" t="s">
        <v>22</v>
      </c>
      <c r="C18" s="6" t="s">
        <v>19</v>
      </c>
      <c r="D18" s="6">
        <v>5</v>
      </c>
    </row>
    <row r="19" spans="1:4" x14ac:dyDescent="0.45">
      <c r="A19" s="5" t="s">
        <v>23</v>
      </c>
      <c r="B19" s="5" t="s">
        <v>24</v>
      </c>
      <c r="C19" s="5" t="s">
        <v>25</v>
      </c>
      <c r="D19" s="7">
        <v>7</v>
      </c>
    </row>
    <row r="20" spans="1:4" x14ac:dyDescent="0.45">
      <c r="A20" s="6" t="s">
        <v>23</v>
      </c>
      <c r="B20" s="6" t="s">
        <v>26</v>
      </c>
      <c r="C20" s="6" t="s">
        <v>25</v>
      </c>
      <c r="D20" s="7">
        <v>7</v>
      </c>
    </row>
    <row r="21" spans="1:4" x14ac:dyDescent="0.45">
      <c r="A21" s="5" t="s">
        <v>23</v>
      </c>
      <c r="B21" s="5" t="s">
        <v>27</v>
      </c>
      <c r="C21" s="5" t="s">
        <v>25</v>
      </c>
      <c r="D21" s="5">
        <v>6</v>
      </c>
    </row>
    <row r="22" spans="1:4" x14ac:dyDescent="0.45">
      <c r="A22" s="6" t="s">
        <v>23</v>
      </c>
      <c r="B22" s="6" t="s">
        <v>28</v>
      </c>
      <c r="C22" s="6" t="s">
        <v>25</v>
      </c>
      <c r="D22" s="7">
        <v>8</v>
      </c>
    </row>
    <row r="23" spans="1:4" x14ac:dyDescent="0.45">
      <c r="A23" s="5" t="s">
        <v>29</v>
      </c>
      <c r="B23" s="5" t="s">
        <v>30</v>
      </c>
      <c r="C23" s="5" t="s">
        <v>25</v>
      </c>
      <c r="D23" s="5">
        <v>6</v>
      </c>
    </row>
    <row r="24" spans="1:4" x14ac:dyDescent="0.45">
      <c r="A24" s="6" t="s">
        <v>29</v>
      </c>
      <c r="B24" s="6" t="s">
        <v>31</v>
      </c>
      <c r="C24" s="6" t="s">
        <v>25</v>
      </c>
      <c r="D24" s="6">
        <v>5</v>
      </c>
    </row>
    <row r="25" spans="1:4" x14ac:dyDescent="0.45">
      <c r="A25" s="5" t="s">
        <v>29</v>
      </c>
      <c r="B25" s="5" t="s">
        <v>32</v>
      </c>
      <c r="C25" s="5" t="s">
        <v>19</v>
      </c>
      <c r="D25" s="5">
        <v>5</v>
      </c>
    </row>
    <row r="26" spans="1:4" x14ac:dyDescent="0.45">
      <c r="A26" s="6" t="s">
        <v>33</v>
      </c>
      <c r="B26" s="6" t="s">
        <v>34</v>
      </c>
      <c r="C26" s="6" t="s">
        <v>25</v>
      </c>
      <c r="D26" s="6">
        <v>6</v>
      </c>
    </row>
    <row r="27" spans="1:4" x14ac:dyDescent="0.45">
      <c r="A27" s="5" t="s">
        <v>33</v>
      </c>
      <c r="B27" s="5" t="s">
        <v>35</v>
      </c>
      <c r="C27" s="5" t="s">
        <v>19</v>
      </c>
      <c r="D27" s="5">
        <v>5</v>
      </c>
    </row>
    <row r="28" spans="1:4" x14ac:dyDescent="0.45">
      <c r="A28" s="6" t="s">
        <v>36</v>
      </c>
      <c r="B28" s="6" t="s">
        <v>37</v>
      </c>
      <c r="C28" s="6" t="s">
        <v>25</v>
      </c>
      <c r="D28" s="7">
        <v>7</v>
      </c>
    </row>
    <row r="29" spans="1:4" x14ac:dyDescent="0.45">
      <c r="A29" s="5" t="s">
        <v>36</v>
      </c>
      <c r="B29" s="5" t="s">
        <v>38</v>
      </c>
      <c r="C29" s="5" t="s">
        <v>19</v>
      </c>
      <c r="D29" s="5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"/>
  <sheetViews>
    <sheetView workbookViewId="0">
      <selection sqref="A1:F1"/>
    </sheetView>
  </sheetViews>
  <sheetFormatPr defaultRowHeight="14.25" x14ac:dyDescent="0.45"/>
  <cols>
    <col min="1" max="1" width="25" customWidth="1"/>
    <col min="2" max="2" width="14" customWidth="1"/>
    <col min="3" max="5" width="10" customWidth="1"/>
    <col min="6" max="6" width="13" customWidth="1"/>
    <col min="7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0" customWidth="1"/>
    <col min="14" max="14" width="11" customWidth="1"/>
    <col min="15" max="15" width="13" customWidth="1"/>
    <col min="16" max="16" width="15" customWidth="1"/>
  </cols>
  <sheetData>
    <row r="1" spans="1:16" ht="20.65" x14ac:dyDescent="0.6">
      <c r="A1" s="19" t="s">
        <v>39</v>
      </c>
      <c r="B1" s="20"/>
      <c r="C1" s="20"/>
      <c r="D1" s="20"/>
      <c r="E1" s="20"/>
      <c r="F1" s="20"/>
    </row>
    <row r="3" spans="1:16" x14ac:dyDescent="0.45">
      <c r="A3" s="4" t="s">
        <v>40</v>
      </c>
      <c r="B3" s="4" t="s">
        <v>41</v>
      </c>
      <c r="C3" s="4" t="s">
        <v>42</v>
      </c>
      <c r="D3" s="4" t="s">
        <v>43</v>
      </c>
      <c r="E3" s="4" t="s">
        <v>44</v>
      </c>
      <c r="F3" s="4" t="s">
        <v>45</v>
      </c>
      <c r="G3" s="4" t="s">
        <v>26</v>
      </c>
      <c r="H3" s="4" t="s">
        <v>46</v>
      </c>
      <c r="I3" s="4" t="s">
        <v>28</v>
      </c>
      <c r="J3" s="4" t="s">
        <v>47</v>
      </c>
      <c r="K3" s="4" t="s">
        <v>48</v>
      </c>
      <c r="L3" s="4" t="s">
        <v>49</v>
      </c>
      <c r="M3" s="4" t="s">
        <v>50</v>
      </c>
      <c r="N3" s="4" t="s">
        <v>51</v>
      </c>
      <c r="O3" s="4" t="s">
        <v>52</v>
      </c>
      <c r="P3" s="4" t="s">
        <v>53</v>
      </c>
    </row>
    <row r="4" spans="1:16" x14ac:dyDescent="0.45">
      <c r="A4" s="5" t="s">
        <v>54</v>
      </c>
      <c r="B4" s="8">
        <v>8.5999999999999993E-2</v>
      </c>
      <c r="C4" s="9">
        <v>0.48</v>
      </c>
      <c r="D4" s="9">
        <v>0.71</v>
      </c>
      <c r="E4" s="9">
        <v>0.02</v>
      </c>
      <c r="F4" s="8">
        <v>0.18</v>
      </c>
      <c r="G4" s="8">
        <v>4.9000000000000002E-2</v>
      </c>
      <c r="H4" s="8">
        <v>6.5000000000000002E-2</v>
      </c>
      <c r="I4" s="8">
        <v>0.15</v>
      </c>
      <c r="J4" s="9">
        <v>0.85</v>
      </c>
      <c r="K4" s="8">
        <v>0.08</v>
      </c>
      <c r="L4" s="8">
        <v>2.5000000000000001E-2</v>
      </c>
      <c r="M4" s="9">
        <v>2.09</v>
      </c>
      <c r="N4" s="9">
        <v>0.12</v>
      </c>
      <c r="O4" s="9">
        <v>0.35</v>
      </c>
      <c r="P4" s="9">
        <v>0.72</v>
      </c>
    </row>
    <row r="5" spans="1:16" x14ac:dyDescent="0.45">
      <c r="A5" s="6" t="s">
        <v>55</v>
      </c>
      <c r="B5" s="10">
        <v>8.5000000000000006E-2</v>
      </c>
      <c r="C5" s="11">
        <v>0.47</v>
      </c>
      <c r="D5" s="11">
        <v>0.7</v>
      </c>
      <c r="E5" s="11">
        <v>1.9E-2</v>
      </c>
      <c r="F5" s="10">
        <v>0.18</v>
      </c>
      <c r="G5" s="10">
        <v>4.9000000000000002E-2</v>
      </c>
      <c r="H5" s="10">
        <v>6.4000000000000001E-2</v>
      </c>
      <c r="I5" s="10">
        <v>0.14000000000000001</v>
      </c>
      <c r="J5" s="11">
        <v>0.84</v>
      </c>
      <c r="K5" s="10">
        <v>0.08</v>
      </c>
      <c r="L5" s="10">
        <v>2.4E-2</v>
      </c>
      <c r="M5" s="11">
        <v>2.12</v>
      </c>
      <c r="N5" s="11">
        <v>0.1</v>
      </c>
      <c r="O5" s="11">
        <v>0.36</v>
      </c>
      <c r="P5" s="11">
        <v>0.7</v>
      </c>
    </row>
    <row r="6" spans="1:16" x14ac:dyDescent="0.45">
      <c r="A6" s="5" t="s">
        <v>56</v>
      </c>
      <c r="B6" s="8">
        <v>5.6000000000000001E-2</v>
      </c>
      <c r="C6" s="9">
        <v>0.15</v>
      </c>
      <c r="D6" s="9">
        <v>0.22</v>
      </c>
      <c r="E6" s="9">
        <v>-0.01</v>
      </c>
      <c r="F6" s="8">
        <v>0.28999999999999998</v>
      </c>
      <c r="G6" s="8">
        <v>7.8E-2</v>
      </c>
      <c r="H6" s="8">
        <v>0.10199999999999999</v>
      </c>
      <c r="I6" s="8">
        <v>0.31</v>
      </c>
      <c r="J6" s="9">
        <v>1.1000000000000001</v>
      </c>
      <c r="K6" s="8">
        <v>0.14000000000000001</v>
      </c>
      <c r="L6" s="8">
        <v>-1.4999999999999999E-2</v>
      </c>
      <c r="M6" s="9">
        <v>5.18</v>
      </c>
      <c r="N6" s="9">
        <v>-0.25</v>
      </c>
      <c r="O6" s="9">
        <v>0.55000000000000004</v>
      </c>
      <c r="P6" s="9">
        <v>0.45</v>
      </c>
    </row>
    <row r="7" spans="1:16" x14ac:dyDescent="0.45">
      <c r="A7" s="6" t="s">
        <v>57</v>
      </c>
      <c r="B7" s="10">
        <v>0.161</v>
      </c>
      <c r="C7" s="11">
        <v>0.72</v>
      </c>
      <c r="D7" s="11">
        <v>1.05</v>
      </c>
      <c r="E7" s="11">
        <v>0.08</v>
      </c>
      <c r="F7" s="10">
        <v>0.22</v>
      </c>
      <c r="G7" s="10">
        <v>6.0999999999999999E-2</v>
      </c>
      <c r="H7" s="10">
        <v>8.1000000000000003E-2</v>
      </c>
      <c r="I7" s="10">
        <v>0.25</v>
      </c>
      <c r="J7" s="11">
        <v>1.05</v>
      </c>
      <c r="K7" s="10">
        <v>0.12</v>
      </c>
      <c r="L7" s="10">
        <v>6.5000000000000002E-2</v>
      </c>
      <c r="M7" s="11">
        <v>1.37</v>
      </c>
      <c r="N7" s="11">
        <v>-0.15</v>
      </c>
      <c r="O7" s="11">
        <v>0.42</v>
      </c>
      <c r="P7" s="11">
        <v>0.55000000000000004</v>
      </c>
    </row>
    <row r="8" spans="1:16" x14ac:dyDescent="0.45">
      <c r="A8" s="5" t="s">
        <v>58</v>
      </c>
      <c r="B8" s="8">
        <v>0.104</v>
      </c>
      <c r="C8" s="9">
        <v>0.55000000000000004</v>
      </c>
      <c r="D8" s="9">
        <v>0.82</v>
      </c>
      <c r="E8" s="9">
        <v>0.04</v>
      </c>
      <c r="F8" s="8">
        <v>0.19</v>
      </c>
      <c r="G8" s="8">
        <v>5.3999999999999999E-2</v>
      </c>
      <c r="H8" s="8">
        <v>7.0999999999999994E-2</v>
      </c>
      <c r="I8" s="8">
        <v>0.18</v>
      </c>
      <c r="J8" s="9">
        <v>0.9</v>
      </c>
      <c r="K8" s="8">
        <v>0.09</v>
      </c>
      <c r="L8" s="8">
        <v>3.5000000000000003E-2</v>
      </c>
      <c r="M8" s="9">
        <v>1.83</v>
      </c>
      <c r="N8" s="9">
        <v>0.08</v>
      </c>
      <c r="O8" s="9">
        <v>0.3</v>
      </c>
      <c r="P8" s="9">
        <v>0.78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sqref="A1:D1"/>
    </sheetView>
  </sheetViews>
  <sheetFormatPr defaultRowHeight="14.25" x14ac:dyDescent="0.45"/>
  <cols>
    <col min="1" max="3" width="25" customWidth="1"/>
    <col min="4" max="4" width="10" customWidth="1"/>
  </cols>
  <sheetData>
    <row r="1" spans="1:4" ht="20.65" x14ac:dyDescent="0.6">
      <c r="A1" s="19" t="s">
        <v>59</v>
      </c>
      <c r="B1" s="20"/>
      <c r="C1" s="20"/>
      <c r="D1" s="20"/>
    </row>
    <row r="3" spans="1:4" x14ac:dyDescent="0.45">
      <c r="A3" s="4" t="s">
        <v>60</v>
      </c>
      <c r="B3" s="4" t="s">
        <v>61</v>
      </c>
      <c r="C3" s="4" t="s">
        <v>62</v>
      </c>
    </row>
    <row r="4" spans="1:4" x14ac:dyDescent="0.45">
      <c r="A4" s="5" t="s">
        <v>63</v>
      </c>
      <c r="B4" s="12">
        <v>7.7999999999999996E-3</v>
      </c>
      <c r="C4" s="5" t="s">
        <v>64</v>
      </c>
    </row>
    <row r="5" spans="1:4" x14ac:dyDescent="0.45">
      <c r="A5" s="5" t="s">
        <v>65</v>
      </c>
      <c r="B5" s="12">
        <v>0.02</v>
      </c>
      <c r="C5" s="5" t="s">
        <v>64</v>
      </c>
    </row>
    <row r="6" spans="1:4" x14ac:dyDescent="0.45">
      <c r="A6" s="6" t="s">
        <v>66</v>
      </c>
      <c r="B6" s="13">
        <v>2.5000000000000001E-2</v>
      </c>
      <c r="C6" s="6" t="s">
        <v>64</v>
      </c>
    </row>
    <row r="7" spans="1:4" x14ac:dyDescent="0.45">
      <c r="A7" s="5" t="s">
        <v>67</v>
      </c>
      <c r="B7" s="12">
        <v>0.03</v>
      </c>
      <c r="C7" s="5" t="s">
        <v>64</v>
      </c>
    </row>
    <row r="8" spans="1:4" x14ac:dyDescent="0.45">
      <c r="A8" s="6" t="s">
        <v>68</v>
      </c>
      <c r="B8" s="13">
        <v>3.5000000000000003E-2</v>
      </c>
      <c r="C8" s="6" t="s">
        <v>64</v>
      </c>
    </row>
    <row r="9" spans="1:4" x14ac:dyDescent="0.45">
      <c r="A9" s="5" t="s">
        <v>69</v>
      </c>
      <c r="B9" s="12">
        <v>0.04</v>
      </c>
      <c r="C9" s="5" t="s">
        <v>64</v>
      </c>
    </row>
    <row r="10" spans="1:4" x14ac:dyDescent="0.45">
      <c r="A10" s="6" t="s">
        <v>70</v>
      </c>
      <c r="B10" s="13">
        <v>4.4999999999999998E-2</v>
      </c>
      <c r="C10" s="6" t="s">
        <v>64</v>
      </c>
    </row>
    <row r="11" spans="1:4" x14ac:dyDescent="0.45">
      <c r="A11" s="5" t="s">
        <v>71</v>
      </c>
      <c r="B11" s="12">
        <v>0.05</v>
      </c>
      <c r="C11" s="5" t="s">
        <v>64</v>
      </c>
    </row>
    <row r="12" spans="1:4" x14ac:dyDescent="0.45">
      <c r="A12" s="6" t="s">
        <v>72</v>
      </c>
      <c r="B12" s="13">
        <v>5.5000000000000007E-2</v>
      </c>
      <c r="C12" s="6" t="s">
        <v>64</v>
      </c>
    </row>
    <row r="13" spans="1:4" x14ac:dyDescent="0.45">
      <c r="A13" s="5" t="s">
        <v>73</v>
      </c>
      <c r="B13" s="12">
        <v>0.06</v>
      </c>
      <c r="C13" s="5" t="s">
        <v>64</v>
      </c>
    </row>
    <row r="14" spans="1:4" x14ac:dyDescent="0.45">
      <c r="A14" s="6" t="s">
        <v>74</v>
      </c>
      <c r="B14" s="13">
        <v>6.5000000000000002E-2</v>
      </c>
      <c r="C14" s="6" t="s">
        <v>64</v>
      </c>
    </row>
    <row r="15" spans="1:4" x14ac:dyDescent="0.45">
      <c r="A15" s="5" t="s">
        <v>75</v>
      </c>
      <c r="B15" s="12">
        <v>7.0000000000000007E-2</v>
      </c>
      <c r="C15" s="5" t="s">
        <v>64</v>
      </c>
    </row>
    <row r="16" spans="1:4" x14ac:dyDescent="0.45">
      <c r="A16" s="6" t="s">
        <v>76</v>
      </c>
      <c r="B16" s="13">
        <v>7.4999999999999997E-2</v>
      </c>
      <c r="C16" s="6" t="s">
        <v>64</v>
      </c>
    </row>
    <row r="17" spans="1:3" x14ac:dyDescent="0.45">
      <c r="A17" s="5" t="s">
        <v>77</v>
      </c>
      <c r="B17" s="12">
        <v>0.08</v>
      </c>
      <c r="C17" s="5" t="s">
        <v>64</v>
      </c>
    </row>
    <row r="18" spans="1:3" x14ac:dyDescent="0.45">
      <c r="A18" s="6" t="s">
        <v>78</v>
      </c>
      <c r="B18" s="13">
        <v>8.5000000000000006E-2</v>
      </c>
      <c r="C18" s="6" t="s">
        <v>64</v>
      </c>
    </row>
    <row r="19" spans="1:3" x14ac:dyDescent="0.45">
      <c r="A19" s="5" t="s">
        <v>79</v>
      </c>
      <c r="B19" s="12">
        <v>9.0000000000000011E-2</v>
      </c>
      <c r="C19" s="5" t="s">
        <v>64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selection activeCell="D6" sqref="D6"/>
    </sheetView>
  </sheetViews>
  <sheetFormatPr defaultRowHeight="14.25" x14ac:dyDescent="0.45"/>
  <cols>
    <col min="1" max="1" width="25" customWidth="1"/>
    <col min="2" max="2" width="12" customWidth="1"/>
    <col min="3" max="4" width="16" customWidth="1"/>
  </cols>
  <sheetData>
    <row r="1" spans="1:4" ht="20.65" x14ac:dyDescent="0.6">
      <c r="A1" s="19" t="s">
        <v>80</v>
      </c>
      <c r="B1" s="20"/>
      <c r="C1" s="20"/>
      <c r="D1" s="20"/>
    </row>
    <row r="2" spans="1:4" x14ac:dyDescent="0.45">
      <c r="A2" s="14" t="s">
        <v>81</v>
      </c>
    </row>
    <row r="4" spans="1:4" x14ac:dyDescent="0.45">
      <c r="A4" s="4" t="s">
        <v>82</v>
      </c>
      <c r="B4" s="4" t="s">
        <v>40</v>
      </c>
      <c r="C4" s="4" t="s">
        <v>83</v>
      </c>
      <c r="D4" s="4" t="s">
        <v>84</v>
      </c>
    </row>
    <row r="5" spans="1:4" x14ac:dyDescent="0.45">
      <c r="A5" s="7">
        <v>1</v>
      </c>
      <c r="B5" s="7" t="s">
        <v>57</v>
      </c>
      <c r="C5" s="15">
        <v>0.253</v>
      </c>
      <c r="D5" s="16">
        <v>25.3</v>
      </c>
    </row>
    <row r="6" spans="1:4" x14ac:dyDescent="0.45">
      <c r="A6" s="6">
        <v>2</v>
      </c>
      <c r="B6" s="6" t="s">
        <v>54</v>
      </c>
      <c r="C6" s="13">
        <v>0.23899999999999999</v>
      </c>
      <c r="D6" s="17">
        <v>23.9</v>
      </c>
    </row>
    <row r="7" spans="1:4" x14ac:dyDescent="0.45">
      <c r="A7" s="5">
        <v>3</v>
      </c>
      <c r="B7" s="5" t="s">
        <v>58</v>
      </c>
      <c r="C7" s="12">
        <v>0.23</v>
      </c>
      <c r="D7" s="18">
        <v>23</v>
      </c>
    </row>
    <row r="8" spans="1:4" x14ac:dyDescent="0.45">
      <c r="A8" s="6">
        <v>4</v>
      </c>
      <c r="B8" s="6" t="s">
        <v>55</v>
      </c>
      <c r="C8" s="13">
        <v>0.246</v>
      </c>
      <c r="D8" s="17">
        <v>24.6</v>
      </c>
    </row>
    <row r="9" spans="1:4" x14ac:dyDescent="0.45">
      <c r="A9" s="5">
        <v>5</v>
      </c>
      <c r="B9" s="5" t="s">
        <v>56</v>
      </c>
      <c r="C9" s="12">
        <v>3.2000000000000001E-2</v>
      </c>
      <c r="D9" s="18">
        <v>3.2</v>
      </c>
    </row>
    <row r="12" spans="1:4" ht="15.4" x14ac:dyDescent="0.45">
      <c r="A12" s="21" t="s">
        <v>85</v>
      </c>
      <c r="B12" s="20"/>
      <c r="C12" s="20"/>
      <c r="D12" s="20"/>
    </row>
  </sheetData>
  <mergeCells count="2">
    <mergeCell ref="A1:D1"/>
    <mergeCell ref="A12:D1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Perfil del inversor</vt:lpstr>
      <vt:lpstr>3. Portafolios candidatos</vt:lpstr>
      <vt:lpstr>4. Matrices AHP</vt:lpstr>
      <vt:lpstr>5. Ranking AHP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Tornero</cp:lastModifiedBy>
  <dcterms:created xsi:type="dcterms:W3CDTF">2026-03-22T16:28:15Z</dcterms:created>
  <dcterms:modified xsi:type="dcterms:W3CDTF">2026-03-22T16:31:38Z</dcterms:modified>
</cp:coreProperties>
</file>