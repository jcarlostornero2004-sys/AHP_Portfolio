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erfil del inversor" sheetId="1" state="visible" r:id="rId1"/>
    <sheet name="2. Análisis acciones" sheetId="2" state="visible" r:id="rId2"/>
    <sheet name="3. Portafolios candidatos" sheetId="3" state="visible" r:id="rId3"/>
    <sheet name="4. Matrices AHP" sheetId="4" state="visible" r:id="rId4"/>
    <sheet name="5. Ranking AHP 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548235"/>
      <sz val="10"/>
    </font>
    <font>
      <name val="Arial"/>
      <color rgb="00666666"/>
      <sz val="9"/>
    </font>
    <font>
      <name val="Arial"/>
      <b val="1"/>
      <color rgb="00548235"/>
      <sz val="12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0" borderId="0" pivotButton="0" quotePrefix="0" xfId="0"/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Puntuación AHP por portafolio (moderado)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Ranking AHP final'!D4</f>
            </strRef>
          </tx>
          <spPr>
            <a:ln>
              <a:prstDash val="solid"/>
            </a:ln>
          </spPr>
          <cat>
            <numRef>
              <f>'5. Ranking AHP final'!$B$5:$B$9</f>
            </numRef>
          </cat>
          <val>
            <numRef>
              <f>'5. Ranking AHP final'!$D$5:$D$9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Portafolio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Puntuación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preferencia AHP</a:t>
            </a:r>
          </a:p>
        </rich>
      </tx>
    </title>
    <plotArea>
      <pieChart>
        <varyColors val="1"/>
        <ser>
          <idx val="0"/>
          <order val="0"/>
          <tx>
            <strRef>
              <f>'5. Ranking AHP final'!D4</f>
            </strRef>
          </tx>
          <spPr>
            <a:ln>
              <a:prstDash val="solid"/>
            </a:ln>
          </spPr>
          <cat>
            <numRef>
              <f>'5. Ranking AHP final'!$B$5:$B$9</f>
            </numRef>
          </cat>
          <val>
            <numRef>
              <f>'5. Ranking AHP final'!$D$5:$D$9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1" customWidth="1" min="3" max="3"/>
    <col width="12" customWidth="1" min="4" max="4"/>
  </cols>
  <sheetData>
    <row r="1">
      <c r="A1" s="1" t="inlineStr">
        <is>
          <t>Perfil: MODERADO</t>
        </is>
      </c>
    </row>
    <row r="2"/>
    <row r="3">
      <c r="A3" s="2" t="inlineStr">
        <is>
          <t>Configuración del perfil</t>
        </is>
      </c>
    </row>
    <row r="4"/>
    <row r="5">
      <c r="A5" s="3" t="inlineStr">
        <is>
          <t>Capitalización mínima</t>
        </is>
      </c>
      <c r="B5" s="4" t="inlineStr">
        <is>
          <t>$5B</t>
        </is>
      </c>
    </row>
    <row r="6">
      <c r="A6" s="3" t="inlineStr">
        <is>
          <t>Volumen medio mínimo</t>
        </is>
      </c>
      <c r="B6" s="4" t="inlineStr">
        <is>
          <t>750,000</t>
        </is>
      </c>
    </row>
    <row r="7">
      <c r="A7" s="3" t="inlineStr">
        <is>
          <t>Acciones por índice</t>
        </is>
      </c>
      <c r="B7" s="4" t="inlineStr">
        <is>
          <t>50</t>
        </is>
      </c>
    </row>
    <row r="8">
      <c r="A8" s="3" t="inlineStr">
        <is>
          <t>N acciones finales</t>
        </is>
      </c>
      <c r="B8" s="4" t="inlineStr">
        <is>
          <t>8</t>
        </is>
      </c>
    </row>
    <row r="9">
      <c r="A9" s="3" t="inlineStr">
        <is>
          <t>Descripción</t>
        </is>
      </c>
      <c r="B9" s="4" t="inlineStr">
        <is>
          <t>Mid-large caps diversificadas</t>
        </is>
      </c>
    </row>
    <row r="10"/>
    <row r="11"/>
    <row r="12">
      <c r="A12" s="2" t="inlineStr">
        <is>
          <t>Pesos AHP por criterio</t>
        </is>
      </c>
    </row>
    <row r="13"/>
    <row r="14">
      <c r="A14" s="5" t="inlineStr">
        <is>
          <t>Categoría</t>
        </is>
      </c>
      <c r="B14" s="5" t="inlineStr">
        <is>
          <t>Criterio</t>
        </is>
      </c>
      <c r="C14" s="5" t="inlineStr">
        <is>
          <t>Dirección</t>
        </is>
      </c>
      <c r="D14" s="5" t="inlineStr">
        <is>
          <t>Peso (1-9)</t>
        </is>
      </c>
    </row>
    <row r="15">
      <c r="A15" s="6" t="inlineStr">
        <is>
          <t>Rendimiento</t>
        </is>
      </c>
      <c r="B15" s="6" t="inlineStr">
        <is>
          <t>Rentabilidad anualizada</t>
        </is>
      </c>
      <c r="C15" s="6" t="inlineStr">
        <is>
          <t>MAXIMIZE</t>
        </is>
      </c>
      <c r="D15" s="6" t="n">
        <v>5</v>
      </c>
    </row>
    <row r="16">
      <c r="A16" s="7" t="inlineStr">
        <is>
          <t>Rendimiento</t>
        </is>
      </c>
      <c r="B16" s="7" t="inlineStr">
        <is>
          <t>Ratio de Sharpe</t>
        </is>
      </c>
      <c r="C16" s="7" t="inlineStr">
        <is>
          <t>MAXIMIZE</t>
        </is>
      </c>
      <c r="D16" s="8" t="n">
        <v>8</v>
      </c>
    </row>
    <row r="17">
      <c r="A17" s="6" t="inlineStr">
        <is>
          <t>Rendimiento</t>
        </is>
      </c>
      <c r="B17" s="6" t="inlineStr">
        <is>
          <t>Ratio de Sortino</t>
        </is>
      </c>
      <c r="C17" s="6" t="inlineStr">
        <is>
          <t>MAXIMIZE</t>
        </is>
      </c>
      <c r="D17" s="8" t="n">
        <v>7</v>
      </c>
    </row>
    <row r="18">
      <c r="A18" s="7" t="inlineStr">
        <is>
          <t>Rendimiento</t>
        </is>
      </c>
      <c r="B18" s="7" t="inlineStr">
        <is>
          <t>Alpha de Jensen</t>
        </is>
      </c>
      <c r="C18" s="7" t="inlineStr">
        <is>
          <t>MAXIMIZE</t>
        </is>
      </c>
      <c r="D18" s="7" t="n">
        <v>5</v>
      </c>
    </row>
    <row r="19">
      <c r="A19" s="6" t="inlineStr">
        <is>
          <t>Riesgo</t>
        </is>
      </c>
      <c r="B19" s="6" t="inlineStr">
        <is>
          <t>Volatilidad (desv. est.)</t>
        </is>
      </c>
      <c r="C19" s="6" t="inlineStr">
        <is>
          <t>MINIMIZE</t>
        </is>
      </c>
      <c r="D19" s="8" t="n">
        <v>7</v>
      </c>
    </row>
    <row r="20">
      <c r="A20" s="7" t="inlineStr">
        <is>
          <t>Riesgo</t>
        </is>
      </c>
      <c r="B20" s="7" t="inlineStr">
        <is>
          <t>VaR 95%</t>
        </is>
      </c>
      <c r="C20" s="7" t="inlineStr">
        <is>
          <t>MINIMIZE</t>
        </is>
      </c>
      <c r="D20" s="8" t="n">
        <v>7</v>
      </c>
    </row>
    <row r="21">
      <c r="A21" s="6" t="inlineStr">
        <is>
          <t>Riesgo</t>
        </is>
      </c>
      <c r="B21" s="6" t="inlineStr">
        <is>
          <t>CVaR / Expected Shortfall</t>
        </is>
      </c>
      <c r="C21" s="6" t="inlineStr">
        <is>
          <t>MINIMIZE</t>
        </is>
      </c>
      <c r="D21" s="6" t="n">
        <v>6</v>
      </c>
    </row>
    <row r="22">
      <c r="A22" s="7" t="inlineStr">
        <is>
          <t>Riesgo</t>
        </is>
      </c>
      <c r="B22" s="7" t="inlineStr">
        <is>
          <t>Max Drawdown</t>
        </is>
      </c>
      <c r="C22" s="7" t="inlineStr">
        <is>
          <t>MINIMIZE</t>
        </is>
      </c>
      <c r="D22" s="8" t="n">
        <v>8</v>
      </c>
    </row>
    <row r="23">
      <c r="A23" s="6" t="inlineStr">
        <is>
          <t>Eficiencia</t>
        </is>
      </c>
      <c r="B23" s="6" t="inlineStr">
        <is>
          <t>Beta del portafolio</t>
        </is>
      </c>
      <c r="C23" s="6" t="inlineStr">
        <is>
          <t>MINIMIZE</t>
        </is>
      </c>
      <c r="D23" s="6" t="n">
        <v>6</v>
      </c>
    </row>
    <row r="24">
      <c r="A24" s="7" t="inlineStr">
        <is>
          <t>Eficiencia</t>
        </is>
      </c>
      <c r="B24" s="7" t="inlineStr">
        <is>
          <t>Tracking error vs benchmark</t>
        </is>
      </c>
      <c r="C24" s="7" t="inlineStr">
        <is>
          <t>MINIMIZE</t>
        </is>
      </c>
      <c r="D24" s="7" t="n">
        <v>5</v>
      </c>
    </row>
    <row r="25">
      <c r="A25" s="6" t="inlineStr">
        <is>
          <t>Eficiencia</t>
        </is>
      </c>
      <c r="B25" s="6" t="inlineStr">
        <is>
          <t>Rentabilidad − Coste capital</t>
        </is>
      </c>
      <c r="C25" s="6" t="inlineStr">
        <is>
          <t>MAXIMIZE</t>
        </is>
      </c>
      <c r="D25" s="6" t="n">
        <v>5</v>
      </c>
    </row>
    <row r="26">
      <c r="A26" s="7" t="inlineStr">
        <is>
          <t>Estabilidad</t>
        </is>
      </c>
      <c r="B26" s="7" t="inlineStr">
        <is>
          <t>Coeficiente de variación</t>
        </is>
      </c>
      <c r="C26" s="7" t="inlineStr">
        <is>
          <t>MINIMIZE</t>
        </is>
      </c>
      <c r="D26" s="7" t="n">
        <v>6</v>
      </c>
    </row>
    <row r="27">
      <c r="A27" s="6" t="inlineStr">
        <is>
          <t>Estabilidad</t>
        </is>
      </c>
      <c r="B27" s="6" t="inlineStr">
        <is>
          <t>Asimetría (Skewness)</t>
        </is>
      </c>
      <c r="C27" s="6" t="inlineStr">
        <is>
          <t>MAXIMIZE</t>
        </is>
      </c>
      <c r="D27" s="6" t="n">
        <v>5</v>
      </c>
    </row>
    <row r="28">
      <c r="A28" s="7" t="inlineStr">
        <is>
          <t>Diversificacion</t>
        </is>
      </c>
      <c r="B28" s="7" t="inlineStr">
        <is>
          <t>Correlación media inter-activos</t>
        </is>
      </c>
      <c r="C28" s="7" t="inlineStr">
        <is>
          <t>MINIMIZE</t>
        </is>
      </c>
      <c r="D28" s="8" t="n">
        <v>7</v>
      </c>
    </row>
    <row r="29">
      <c r="A29" s="6" t="inlineStr">
        <is>
          <t>Diversificacion</t>
        </is>
      </c>
      <c r="B29" s="6" t="inlineStr">
        <is>
          <t>Diversificación geográfica</t>
        </is>
      </c>
      <c r="C29" s="6" t="inlineStr">
        <is>
          <t>MAXIMIZE</t>
        </is>
      </c>
      <c r="D29" s="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1" customWidth="1" min="8" max="8"/>
    <col width="23" customWidth="1" min="9" max="9"/>
    <col width="22" customWidth="1" min="10" max="10"/>
  </cols>
  <sheetData>
    <row r="1">
      <c r="A1" s="1" t="inlineStr">
        <is>
          <t>Análisis individual de acciones</t>
        </is>
      </c>
    </row>
    <row r="2"/>
    <row r="3">
      <c r="A3" s="5" t="inlineStr">
        <is>
          <t>Ticker</t>
        </is>
      </c>
      <c r="B3" s="5" t="inlineStr">
        <is>
          <t>Rentabilidad anualiz</t>
        </is>
      </c>
      <c r="C3" s="5" t="inlineStr">
        <is>
          <t>Ratio de Sharpe</t>
        </is>
      </c>
      <c r="D3" s="5" t="inlineStr">
        <is>
          <t>Ratio de Sortino</t>
        </is>
      </c>
      <c r="E3" s="5" t="inlineStr">
        <is>
          <t>Alpha de Jensen</t>
        </is>
      </c>
      <c r="F3" s="5" t="inlineStr">
        <is>
          <t>Volatilidad (desv. e</t>
        </is>
      </c>
      <c r="G3" s="5" t="inlineStr">
        <is>
          <t>VaR 95%</t>
        </is>
      </c>
      <c r="H3" s="5" t="inlineStr">
        <is>
          <t>Max Drawdown</t>
        </is>
      </c>
      <c r="I3" s="5" t="inlineStr">
        <is>
          <t>Beta del portafolio</t>
        </is>
      </c>
      <c r="J3" s="5" t="inlineStr">
        <is>
          <t>Coeficiente de varia</t>
        </is>
      </c>
    </row>
    <row r="4">
      <c r="A4" s="9" t="inlineStr">
        <is>
          <t>AAPL</t>
        </is>
      </c>
      <c r="B4" s="10" t="n">
        <v>0.158836360130222</v>
      </c>
      <c r="C4" s="11" t="n">
        <v>0.482624709803859</v>
      </c>
      <c r="D4" s="11" t="n">
        <v>0.8591895072013701</v>
      </c>
      <c r="E4" s="11" t="n">
        <v>0.113385173080268</v>
      </c>
      <c r="F4" s="10" t="n">
        <v>0.2462293324735024</v>
      </c>
      <c r="G4" s="10" t="n">
        <v>0.2461748504506583</v>
      </c>
      <c r="H4" s="10" t="n">
        <v>0.2127834948922887</v>
      </c>
      <c r="I4" s="11" t="n">
        <v>0.1786067654089809</v>
      </c>
      <c r="J4" s="11" t="n">
        <v>24.60878272507228</v>
      </c>
    </row>
    <row r="5">
      <c r="A5" s="12" t="inlineStr">
        <is>
          <t>MSFT</t>
        </is>
      </c>
      <c r="B5" s="13" t="n">
        <v>0.347212196213961</v>
      </c>
      <c r="C5" s="14" t="n">
        <v>1.12798633942623</v>
      </c>
      <c r="D5" s="14" t="n">
        <v>1.933531791569588</v>
      </c>
      <c r="E5" s="14" t="n">
        <v>0.3085117480660975</v>
      </c>
      <c r="F5" s="13" t="n">
        <v>0.2723545361109868</v>
      </c>
      <c r="G5" s="13" t="n">
        <v>0.1007711503248814</v>
      </c>
      <c r="H5" s="13" t="n">
        <v>0.2159126913422089</v>
      </c>
      <c r="I5" s="14" t="n">
        <v>-0.04257948785545805</v>
      </c>
      <c r="J5" s="14" t="n">
        <v>12.45202292167163</v>
      </c>
    </row>
    <row r="6">
      <c r="A6" s="9" t="inlineStr">
        <is>
          <t>JNJ</t>
        </is>
      </c>
      <c r="B6" s="10" t="n">
        <v>0.2538314321507393</v>
      </c>
      <c r="C6" s="11" t="n">
        <v>1.510217068069019</v>
      </c>
      <c r="D6" s="11" t="n">
        <v>2.563387308275362</v>
      </c>
      <c r="E6" s="11" t="n">
        <v>0.2153566234123957</v>
      </c>
      <c r="F6" s="10" t="n">
        <v>0.1415898659019571</v>
      </c>
      <c r="G6" s="10" t="n">
        <v>-0.02093682768233252</v>
      </c>
      <c r="H6" s="10" t="n">
        <v>0.1108304733771157</v>
      </c>
      <c r="I6" s="11" t="n">
        <v>-0.04997250605751751</v>
      </c>
      <c r="J6" s="11" t="n">
        <v>8.854968909944077</v>
      </c>
    </row>
    <row r="7">
      <c r="A7" s="12" t="inlineStr">
        <is>
          <t>PG</t>
        </is>
      </c>
      <c r="B7" s="13" t="n">
        <v>0.07055659208501035</v>
      </c>
      <c r="C7" s="14" t="n">
        <v>0.2580544795307056</v>
      </c>
      <c r="D7" s="14" t="n">
        <v>0.4108277517765461</v>
      </c>
      <c r="E7" s="14" t="n">
        <v>0.02819518017629321</v>
      </c>
      <c r="F7" s="13" t="n">
        <v>0.1184113995640771</v>
      </c>
      <c r="G7" s="13" t="n">
        <v>0.1242128279603619</v>
      </c>
      <c r="H7" s="13" t="n">
        <v>0.1207045087120558</v>
      </c>
      <c r="I7" s="14" t="n">
        <v>0.07737106412772446</v>
      </c>
      <c r="J7" s="14" t="n">
        <v>26.64134758074923</v>
      </c>
    </row>
    <row r="8">
      <c r="A8" s="9" t="inlineStr">
        <is>
          <t>JPM</t>
        </is>
      </c>
      <c r="B8" s="10" t="n">
        <v>0.1334237355215364</v>
      </c>
      <c r="C8" s="11" t="n">
        <v>0.4371243798488523</v>
      </c>
      <c r="D8" s="11" t="n">
        <v>0.7459707714866073</v>
      </c>
      <c r="E8" s="11" t="n">
        <v>0.09477846120283001</v>
      </c>
      <c r="F8" s="10" t="n">
        <v>0.2137234613952216</v>
      </c>
      <c r="G8" s="10" t="n">
        <v>0.2181200751190168</v>
      </c>
      <c r="H8" s="10" t="n">
        <v>0.1831137395365133</v>
      </c>
      <c r="I8" s="11" t="n">
        <v>-0.04438724441759374</v>
      </c>
      <c r="J8" s="11" t="n">
        <v>25.42841988262564</v>
      </c>
    </row>
    <row r="9">
      <c r="A9" s="12" t="inlineStr">
        <is>
          <t>SAP.DE</t>
        </is>
      </c>
      <c r="B9" s="13" t="n">
        <v>0.1591749194002905</v>
      </c>
      <c r="C9" s="14" t="n">
        <v>0.4941358410088295</v>
      </c>
      <c r="D9" s="14" t="n">
        <v>0.8409502045626023</v>
      </c>
      <c r="E9" s="14" t="n">
        <v>0.1368941615937911</v>
      </c>
      <c r="F9" s="13" t="n">
        <v>0.2715344815432908</v>
      </c>
      <c r="G9" s="13" t="n">
        <v>0.287459557408579</v>
      </c>
      <c r="H9" s="13" t="n">
        <v>0.2748524104799939</v>
      </c>
      <c r="I9" s="14" t="n">
        <v>0.06881246540697333</v>
      </c>
      <c r="J9" s="14" t="n">
        <v>27.08012216682527</v>
      </c>
    </row>
    <row r="10">
      <c r="A10" s="9" t="inlineStr">
        <is>
          <t>SIE.DE</t>
        </is>
      </c>
      <c r="B10" s="10" t="n">
        <v>-0.0536976727522372</v>
      </c>
      <c r="C10" s="11" t="n">
        <v>-0.3923388524141944</v>
      </c>
      <c r="D10" s="11" t="n">
        <v>-0.6494001693870808</v>
      </c>
      <c r="E10" s="11" t="n">
        <v>-0.0786231881903251</v>
      </c>
      <c r="F10" s="10" t="n">
        <v>0.2005859788496185</v>
      </c>
      <c r="G10" s="10" t="n">
        <v>0.3836322475786436</v>
      </c>
      <c r="H10" s="10" t="n">
        <v>0.3987386205014971</v>
      </c>
      <c r="I10" s="11" t="n">
        <v>0.001884887764753337</v>
      </c>
      <c r="J10" s="11" t="n">
        <v>59.29872815582407</v>
      </c>
    </row>
    <row r="11">
      <c r="A11" s="12" t="inlineStr">
        <is>
          <t>SAN.MC</t>
        </is>
      </c>
      <c r="B11" s="13" t="n">
        <v>-0.2092493313168161</v>
      </c>
      <c r="C11" s="14" t="n">
        <v>-0.9987778266238366</v>
      </c>
      <c r="D11" s="14" t="n">
        <v>-1.558632891378104</v>
      </c>
      <c r="E11" s="14" t="n">
        <v>-0.2309105125548357</v>
      </c>
      <c r="F11" s="13" t="n">
        <v>0.2345359749411417</v>
      </c>
      <c r="G11" s="13" t="n">
        <v>0.5950266803493527</v>
      </c>
      <c r="H11" s="13" t="n">
        <v>0.4972338339079562</v>
      </c>
      <c r="I11" s="14" t="n">
        <v>0.08449131567172292</v>
      </c>
      <c r="J11" s="14" t="n">
        <v>17.79285580376342</v>
      </c>
    </row>
    <row r="12">
      <c r="A12" s="9" t="inlineStr">
        <is>
          <t>MC.PA</t>
        </is>
      </c>
      <c r="B12" s="10" t="n">
        <v>0.1215010602237273</v>
      </c>
      <c r="C12" s="11" t="n">
        <v>0.4328905713271362</v>
      </c>
      <c r="D12" s="11" t="n">
        <v>0.6758184841384748</v>
      </c>
      <c r="E12" s="11" t="n">
        <v>0.09253994055886158</v>
      </c>
      <c r="F12" s="10" t="n">
        <v>0.2229225273442172</v>
      </c>
      <c r="G12" s="10" t="n">
        <v>0.2451738674075971</v>
      </c>
      <c r="H12" s="10" t="n">
        <v>0.2353699522594458</v>
      </c>
      <c r="I12" s="11" t="n">
        <v>-0.1002391072641292</v>
      </c>
      <c r="J12" s="11" t="n">
        <v>29.12555172279638</v>
      </c>
    </row>
    <row r="13">
      <c r="A13" s="12" t="inlineStr">
        <is>
          <t>TTE.PA</t>
        </is>
      </c>
      <c r="B13" s="13" t="n">
        <v>-0.07868558862989372</v>
      </c>
      <c r="C13" s="14" t="n">
        <v>-0.4145449544893481</v>
      </c>
      <c r="D13" s="14" t="n">
        <v>-0.7169368979542656</v>
      </c>
      <c r="E13" s="14" t="n">
        <v>-0.1026882283240574</v>
      </c>
      <c r="F13" s="13" t="n">
        <v>0.250119046214463</v>
      </c>
      <c r="G13" s="13" t="n">
        <v>0.490094808965396</v>
      </c>
      <c r="H13" s="13" t="n">
        <v>0.4122945850637731</v>
      </c>
      <c r="I13" s="14" t="n">
        <v>0.02523895139156422</v>
      </c>
      <c r="J13" s="14" t="n">
        <v>50.46053331748717</v>
      </c>
    </row>
    <row r="14">
      <c r="A14" s="9" t="inlineStr">
        <is>
          <t>7203.T</t>
        </is>
      </c>
      <c r="B14" s="10" t="n">
        <v>-0.04136855187614258</v>
      </c>
      <c r="C14" s="11" t="n">
        <v>-0.2382310332040296</v>
      </c>
      <c r="D14" s="11" t="n">
        <v>-0.3945953022261272</v>
      </c>
      <c r="E14" s="11" t="n">
        <v>-0.04635077124493275</v>
      </c>
      <c r="F14" s="10" t="n">
        <v>0.2156249384694928</v>
      </c>
      <c r="G14" s="10" t="n">
        <v>0.3960400139788758</v>
      </c>
      <c r="H14" s="10" t="n">
        <v>0.3235373504572019</v>
      </c>
      <c r="I14" s="11" t="n">
        <v>-0.02549312491205804</v>
      </c>
      <c r="J14" s="11" t="n">
        <v>82.74255749081023</v>
      </c>
    </row>
    <row r="15">
      <c r="A15" s="12" t="inlineStr">
        <is>
          <t>6758.T</t>
        </is>
      </c>
      <c r="B15" s="13" t="n">
        <v>-0.02419489071764649</v>
      </c>
      <c r="C15" s="14" t="n">
        <v>-0.1069963986369026</v>
      </c>
      <c r="D15" s="14" t="n">
        <v>-0.1937347174301643</v>
      </c>
      <c r="E15" s="14" t="n">
        <v>-0.0376348520651328</v>
      </c>
      <c r="F15" s="13" t="n">
        <v>0.319589174526224</v>
      </c>
      <c r="G15" s="13" t="n">
        <v>0.5498723035715332</v>
      </c>
      <c r="H15" s="13" t="n">
        <v>0.3775853883681111</v>
      </c>
      <c r="I15" s="14" t="n">
        <v>0.01747692272130594</v>
      </c>
      <c r="J15" s="14" t="n">
        <v>209.685628434297</v>
      </c>
    </row>
    <row r="16">
      <c r="A16" s="9" t="inlineStr">
        <is>
          <t>9984.T</t>
        </is>
      </c>
      <c r="B16" s="10" t="n">
        <v>0.05142788870103453</v>
      </c>
      <c r="C16" s="11" t="n">
        <v>0.1117217229173915</v>
      </c>
      <c r="D16" s="11" t="n">
        <v>0.1842669488731643</v>
      </c>
      <c r="E16" s="11" t="n">
        <v>0.03987188755614565</v>
      </c>
      <c r="F16" s="10" t="n">
        <v>0.370813192092167</v>
      </c>
      <c r="G16" s="10" t="n">
        <v>0.5585055352332193</v>
      </c>
      <c r="H16" s="10" t="n">
        <v>0.2958845670462018</v>
      </c>
      <c r="I16" s="11" t="n">
        <v>0.007905353873629508</v>
      </c>
      <c r="J16" s="11" t="n">
        <v>114.4607932292769</v>
      </c>
    </row>
    <row r="17">
      <c r="A17" s="12" t="inlineStr">
        <is>
          <t>4502.T</t>
        </is>
      </c>
      <c r="B17" s="13" t="n">
        <v>0.1421409153322679</v>
      </c>
      <c r="C17" s="14" t="n">
        <v>0.8080772748287188</v>
      </c>
      <c r="D17" s="14" t="n">
        <v>1.347215541669045</v>
      </c>
      <c r="E17" s="14" t="n">
        <v>0.1412411707557972</v>
      </c>
      <c r="F17" s="13" t="n">
        <v>0.1635250977207305</v>
      </c>
      <c r="G17" s="13" t="n">
        <v>0.1268339347512696</v>
      </c>
      <c r="H17" s="13" t="n">
        <v>0.1391233676074853</v>
      </c>
      <c r="I17" s="14" t="n">
        <v>-0.04623437437673127</v>
      </c>
      <c r="J17" s="14" t="n">
        <v>18.26272501518237</v>
      </c>
    </row>
    <row r="18">
      <c r="A18" s="9" t="inlineStr">
        <is>
          <t>8306.T</t>
        </is>
      </c>
      <c r="B18" s="10" t="n">
        <v>0.1284403545869292</v>
      </c>
      <c r="C18" s="11" t="n">
        <v>0.5637934022432153</v>
      </c>
      <c r="D18" s="11" t="n">
        <v>0.9177588464402819</v>
      </c>
      <c r="E18" s="11" t="n">
        <v>0.1334120942074208</v>
      </c>
      <c r="F18" s="10" t="n">
        <v>0.2100775818157502</v>
      </c>
      <c r="G18" s="10" t="n">
        <v>0.2171065178039021</v>
      </c>
      <c r="H18" s="10" t="n">
        <v>0.1855787516315391</v>
      </c>
      <c r="I18" s="11" t="n">
        <v>-0.07606478966458435</v>
      </c>
      <c r="J18" s="11" t="n">
        <v>25.96441154192496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0" customWidth="1" min="13" max="13"/>
    <col width="22" customWidth="1" min="14" max="14"/>
    <col width="23" customWidth="1" min="15" max="15"/>
    <col width="15" customWidth="1" min="16" max="16"/>
  </cols>
  <sheetData>
    <row r="1">
      <c r="A1" s="1" t="inlineStr">
        <is>
          <t>Portafolios candidatos para análisis AHP</t>
        </is>
      </c>
    </row>
    <row r="2"/>
    <row r="3">
      <c r="A3" s="5" t="inlineStr">
        <is>
          <t>Portafolio</t>
        </is>
      </c>
      <c r="B3" s="5" t="inlineStr">
        <is>
          <t>Rentabilidad</t>
        </is>
      </c>
      <c r="C3" s="5" t="inlineStr">
        <is>
          <t>Sharpe</t>
        </is>
      </c>
      <c r="D3" s="5" t="inlineStr">
        <is>
          <t>Sortino</t>
        </is>
      </c>
      <c r="E3" s="5" t="inlineStr">
        <is>
          <t>Alpha</t>
        </is>
      </c>
      <c r="F3" s="5" t="inlineStr">
        <is>
          <t>Volatilidad</t>
        </is>
      </c>
      <c r="G3" s="5" t="inlineStr">
        <is>
          <t>VaR 95%</t>
        </is>
      </c>
      <c r="H3" s="5" t="inlineStr">
        <is>
          <t>CVaR 95%</t>
        </is>
      </c>
      <c r="I3" s="5" t="inlineStr">
        <is>
          <t>Max Drawdown</t>
        </is>
      </c>
      <c r="J3" s="5" t="inlineStr">
        <is>
          <t>Beta</t>
        </is>
      </c>
      <c r="K3" s="5" t="inlineStr">
        <is>
          <t>Track. Error</t>
        </is>
      </c>
      <c r="L3" s="5" t="inlineStr">
        <is>
          <t>Rentab-kp</t>
        </is>
      </c>
      <c r="M3" s="5" t="inlineStr">
        <is>
          <t>C.V.</t>
        </is>
      </c>
      <c r="N3" s="5" t="inlineStr">
        <is>
          <t>Asimetría</t>
        </is>
      </c>
      <c r="O3" s="5" t="inlineStr">
        <is>
          <t>Corr. media</t>
        </is>
      </c>
      <c r="P3" s="5" t="inlineStr">
        <is>
          <t>Div. geográf.</t>
        </is>
      </c>
    </row>
    <row r="4">
      <c r="A4" s="6" t="inlineStr">
        <is>
          <t>P1</t>
        </is>
      </c>
      <c r="B4" s="10" t="n">
        <v>0.1192641932588436</v>
      </c>
      <c r="C4" s="11" t="n">
        <v>0.9184114432166643</v>
      </c>
      <c r="D4" s="11" t="n">
        <v>1.536831531187345</v>
      </c>
      <c r="E4" s="11" t="n">
        <v>0.09072831061703243</v>
      </c>
      <c r="F4" s="10" t="n">
        <v>0.1026383043842426</v>
      </c>
      <c r="G4" s="10" t="n">
        <v>0.0495607939717272</v>
      </c>
      <c r="H4" s="10" t="n">
        <v>0.2048226137445755</v>
      </c>
      <c r="I4" s="10" t="n">
        <v>0.07549104810902588</v>
      </c>
      <c r="J4" s="11" t="n">
        <v>0.07767652514480665</v>
      </c>
      <c r="K4" s="10" t="n">
        <v>0.1667354866918159</v>
      </c>
      <c r="L4" s="10" t="n">
        <v>0.09072831061703243</v>
      </c>
      <c r="M4" s="11" t="n">
        <v>0.8605961402135415</v>
      </c>
      <c r="N4" s="11" t="n">
        <v>0.03061234365283867</v>
      </c>
      <c r="O4" s="11" t="n">
        <v>0.00995720267722713</v>
      </c>
      <c r="P4" s="11" t="n">
        <v>0.75</v>
      </c>
    </row>
    <row r="5">
      <c r="A5" s="7" t="inlineStr">
        <is>
          <t>P2</t>
        </is>
      </c>
      <c r="B5" s="13" t="n">
        <v>0.1192641932588436</v>
      </c>
      <c r="C5" s="14" t="n">
        <v>0.9184114432166643</v>
      </c>
      <c r="D5" s="14" t="n">
        <v>1.536831531187345</v>
      </c>
      <c r="E5" s="14" t="n">
        <v>0.09072831061703243</v>
      </c>
      <c r="F5" s="13" t="n">
        <v>0.1026383043842426</v>
      </c>
      <c r="G5" s="13" t="n">
        <v>0.0495607939717272</v>
      </c>
      <c r="H5" s="13" t="n">
        <v>0.2048226137445755</v>
      </c>
      <c r="I5" s="13" t="n">
        <v>0.07549104810902588</v>
      </c>
      <c r="J5" s="14" t="n">
        <v>0.07767652514480665</v>
      </c>
      <c r="K5" s="13" t="n">
        <v>0.1667354866918159</v>
      </c>
      <c r="L5" s="13" t="n">
        <v>0.09072831061703243</v>
      </c>
      <c r="M5" s="14" t="n">
        <v>0.8605961402135415</v>
      </c>
      <c r="N5" s="14" t="n">
        <v>0.03061234365283867</v>
      </c>
      <c r="O5" s="14" t="n">
        <v>0.00995720267722713</v>
      </c>
      <c r="P5" s="14" t="n">
        <v>0.75</v>
      </c>
    </row>
    <row r="6">
      <c r="A6" s="6" t="inlineStr">
        <is>
          <t>P3</t>
        </is>
      </c>
      <c r="B6" s="10" t="n">
        <v>0.09347179161465019</v>
      </c>
      <c r="C6" s="11" t="n">
        <v>0.3359264916573551</v>
      </c>
      <c r="D6" s="11" t="n">
        <v>0.523771093656435</v>
      </c>
      <c r="E6" s="11" t="n">
        <v>0.06827032112535777</v>
      </c>
      <c r="F6" s="10" t="n">
        <v>0.2038296868961779</v>
      </c>
      <c r="G6" s="10" t="n">
        <v>0.2417982081569111</v>
      </c>
      <c r="H6" s="10" t="n">
        <v>0.4291498247669702</v>
      </c>
      <c r="I6" s="10" t="n">
        <v>0.1873182206456674</v>
      </c>
      <c r="J6" s="11" t="n">
        <v>0.004425918253735652</v>
      </c>
      <c r="K6" s="10" t="n">
        <v>0.2486109214084715</v>
      </c>
      <c r="L6" s="10" t="n">
        <v>0.06827032112535777</v>
      </c>
      <c r="M6" s="11" t="n">
        <v>2.180654541602162</v>
      </c>
      <c r="N6" s="11" t="n">
        <v>-0.1546573093721481</v>
      </c>
      <c r="O6" s="11" t="n">
        <v>0.04173970656984656</v>
      </c>
      <c r="P6" s="11" t="n">
        <v>0.5</v>
      </c>
    </row>
    <row r="7">
      <c r="A7" s="7" t="inlineStr">
        <is>
          <t>P4</t>
        </is>
      </c>
      <c r="B7" s="13" t="n">
        <v>0.1589887006590369</v>
      </c>
      <c r="C7" s="14" t="n">
        <v>0.7197794755515594</v>
      </c>
      <c r="D7" s="14" t="n">
        <v>1.206748582051541</v>
      </c>
      <c r="E7" s="14" t="n">
        <v>0.1263419089961245</v>
      </c>
      <c r="F7" s="13" t="n">
        <v>0.1861524330856514</v>
      </c>
      <c r="G7" s="13" t="n">
        <v>0.1472048040677381</v>
      </c>
      <c r="H7" s="13" t="n">
        <v>0.3746132753228044</v>
      </c>
      <c r="I7" s="13" t="n">
        <v>0.1904217332271136</v>
      </c>
      <c r="J7" s="14" t="n">
        <v>0.16798527130331</v>
      </c>
      <c r="K7" s="13" t="n">
        <v>0.2196057452134919</v>
      </c>
      <c r="L7" s="13" t="n">
        <v>0.1263419089961245</v>
      </c>
      <c r="M7" s="14" t="n">
        <v>1.170853226135039</v>
      </c>
      <c r="N7" s="14" t="n">
        <v>0.07407991107335733</v>
      </c>
      <c r="O7" s="14" t="n">
        <v>0.04175711173034789</v>
      </c>
      <c r="P7" s="14" t="n">
        <v>0.5</v>
      </c>
    </row>
    <row r="8">
      <c r="A8" s="6" t="inlineStr">
        <is>
          <t>P5</t>
        </is>
      </c>
      <c r="B8" s="10" t="n">
        <v>0.1039472093500402</v>
      </c>
      <c r="C8" s="11" t="n">
        <v>0.7709480095160073</v>
      </c>
      <c r="D8" s="11" t="n">
        <v>1.341357306271636</v>
      </c>
      <c r="E8" s="11" t="n">
        <v>0.07636042532842757</v>
      </c>
      <c r="F8" s="10" t="n">
        <v>0.1024027669513051</v>
      </c>
      <c r="G8" s="10" t="n">
        <v>0.06449035327968033</v>
      </c>
      <c r="H8" s="10" t="n">
        <v>0.2004528861317321</v>
      </c>
      <c r="I8" s="10" t="n">
        <v>0.06503671847959587</v>
      </c>
      <c r="J8" s="11" t="n">
        <v>0.05682665813706313</v>
      </c>
      <c r="K8" s="10" t="n">
        <v>0.1691296696278187</v>
      </c>
      <c r="L8" s="10" t="n">
        <v>0.07636042532842757</v>
      </c>
      <c r="M8" s="11" t="n">
        <v>0.9851420503889212</v>
      </c>
      <c r="N8" s="11" t="n">
        <v>-0.01988035452220148</v>
      </c>
      <c r="O8" s="11" t="n">
        <v>0.00160535699135963</v>
      </c>
      <c r="P8" s="11" t="n">
        <v>0.75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</cols>
  <sheetData>
    <row r="1">
      <c r="A1" s="1" t="inlineStr">
        <is>
          <t>Análisis de consistencia AHP</t>
        </is>
      </c>
    </row>
    <row r="2"/>
    <row r="3">
      <c r="A3" s="5" t="inlineStr">
        <is>
          <t>Elemento</t>
        </is>
      </c>
      <c r="B3" s="5" t="inlineStr">
        <is>
          <t>Ratio Consistencia (CR)</t>
        </is>
      </c>
      <c r="C3" s="5" t="inlineStr">
        <is>
          <t>Consistente (CR &lt; 0.10)</t>
        </is>
      </c>
    </row>
    <row r="4">
      <c r="A4" s="6" t="inlineStr">
        <is>
          <t>Matriz de criterios</t>
        </is>
      </c>
      <c r="B4" s="15" t="n">
        <v>0.007804590426574582</v>
      </c>
      <c r="C4" s="6" t="inlineStr">
        <is>
          <t>SÍ</t>
        </is>
      </c>
    </row>
    <row r="5">
      <c r="A5" s="6" t="inlineStr">
        <is>
          <t>Alternativas (Rentabilidad anualizada)</t>
        </is>
      </c>
      <c r="B5" s="15" t="n">
        <v>0.03543204824108426</v>
      </c>
      <c r="C5" s="6" t="inlineStr">
        <is>
          <t>SÍ</t>
        </is>
      </c>
    </row>
    <row r="6">
      <c r="A6" s="7" t="inlineStr">
        <is>
          <t>Alternativas (Ratio de Sharpe)</t>
        </is>
      </c>
      <c r="B6" s="16" t="n">
        <v>0.03614714842022339</v>
      </c>
      <c r="C6" s="7" t="inlineStr">
        <is>
          <t>SÍ</t>
        </is>
      </c>
    </row>
    <row r="7">
      <c r="A7" s="6" t="inlineStr">
        <is>
          <t>Alternativas (Ratio de Sortino)</t>
        </is>
      </c>
      <c r="B7" s="15" t="n">
        <v>0.03614714842022339</v>
      </c>
      <c r="C7" s="6" t="inlineStr">
        <is>
          <t>SÍ</t>
        </is>
      </c>
    </row>
    <row r="8">
      <c r="A8" s="7" t="inlineStr">
        <is>
          <t>Alternativas (Alpha de Jensen)</t>
        </is>
      </c>
      <c r="B8" s="16" t="n">
        <v>0.03543204824108426</v>
      </c>
      <c r="C8" s="7" t="inlineStr">
        <is>
          <t>SÍ</t>
        </is>
      </c>
    </row>
    <row r="9">
      <c r="A9" s="6" t="inlineStr">
        <is>
          <t>Alternativas (Volatilidad (desv. est.))</t>
        </is>
      </c>
      <c r="B9" s="15" t="n">
        <v>0.008969823683141476</v>
      </c>
      <c r="C9" s="6" t="inlineStr">
        <is>
          <t>SÍ</t>
        </is>
      </c>
    </row>
    <row r="10">
      <c r="A10" s="7" t="inlineStr">
        <is>
          <t>Alternativas (VaR 95%)</t>
        </is>
      </c>
      <c r="B10" s="16" t="n">
        <v>0.02718750603268197</v>
      </c>
      <c r="C10" s="7" t="inlineStr">
        <is>
          <t>SÍ</t>
        </is>
      </c>
    </row>
    <row r="11">
      <c r="A11" s="6" t="inlineStr">
        <is>
          <t>Alternativas (CVaR / Expected Shortfall)</t>
        </is>
      </c>
      <c r="B11" s="15" t="n">
        <v>0.008969823683141476</v>
      </c>
      <c r="C11" s="6" t="inlineStr">
        <is>
          <t>SÍ</t>
        </is>
      </c>
    </row>
    <row r="12">
      <c r="A12" s="7" t="inlineStr">
        <is>
          <t>Alternativas (Max Drawdown)</t>
        </is>
      </c>
      <c r="B12" s="16" t="n">
        <v>0.02598664768979353</v>
      </c>
      <c r="C12" s="7" t="inlineStr">
        <is>
          <t>SÍ</t>
        </is>
      </c>
    </row>
    <row r="13">
      <c r="A13" s="6" t="inlineStr">
        <is>
          <t>Alternativas (Beta del portafolio)</t>
        </is>
      </c>
      <c r="B13" s="15" t="n">
        <v>0</v>
      </c>
      <c r="C13" s="6" t="inlineStr">
        <is>
          <t>SÍ</t>
        </is>
      </c>
    </row>
    <row r="14">
      <c r="A14" s="7" t="inlineStr">
        <is>
          <t>Alternativas (Tracking error vs benchmark)</t>
        </is>
      </c>
      <c r="B14" s="16" t="n">
        <v>0.01970612958127774</v>
      </c>
      <c r="C14" s="7" t="inlineStr">
        <is>
          <t>SÍ</t>
        </is>
      </c>
    </row>
    <row r="15">
      <c r="A15" s="6" t="inlineStr">
        <is>
          <t>Alternativas (Rentabilidad − Coste capital)</t>
        </is>
      </c>
      <c r="B15" s="15" t="n">
        <v>0.03543204824108426</v>
      </c>
      <c r="C15" s="6" t="inlineStr">
        <is>
          <t>SÍ</t>
        </is>
      </c>
    </row>
    <row r="16">
      <c r="A16" s="7" t="inlineStr">
        <is>
          <t>Alternativas (Coeficiente de variación)</t>
        </is>
      </c>
      <c r="B16" s="16" t="n">
        <v>0.04371272413040654</v>
      </c>
      <c r="C16" s="7" t="inlineStr">
        <is>
          <t>SÍ</t>
        </is>
      </c>
    </row>
    <row r="17">
      <c r="A17" s="6" t="inlineStr">
        <is>
          <t>Alternativas (Asimetría (Skewness))</t>
        </is>
      </c>
      <c r="B17" s="15" t="n">
        <v>0.05030460883990569</v>
      </c>
      <c r="C17" s="6" t="inlineStr">
        <is>
          <t>SÍ</t>
        </is>
      </c>
    </row>
    <row r="18">
      <c r="A18" s="7" t="inlineStr">
        <is>
          <t>Alternativas (Correlación media inter-activos)</t>
        </is>
      </c>
      <c r="B18" s="16" t="n">
        <v>0.01189775623686281</v>
      </c>
      <c r="C18" s="7" t="inlineStr">
        <is>
          <t>SÍ</t>
        </is>
      </c>
    </row>
    <row r="19">
      <c r="A19" s="6" t="inlineStr">
        <is>
          <t>Alternativas (Diversificación geográfica)</t>
        </is>
      </c>
      <c r="B19" s="15" t="n">
        <v>0</v>
      </c>
      <c r="C19" s="6" t="inlineStr">
        <is>
          <t>SÍ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0" customWidth="1" min="4" max="4"/>
  </cols>
  <sheetData>
    <row r="1">
      <c r="A1" s="1" t="inlineStr">
        <is>
          <t>Ranking AHP — Perfil: MODERADO</t>
        </is>
      </c>
    </row>
    <row r="2">
      <c r="A2" s="17" t="inlineStr">
        <is>
          <t>15 criterios · 5 categorías · Escala de Saaty (1-9)</t>
        </is>
      </c>
    </row>
    <row r="3"/>
    <row r="4">
      <c r="A4" s="5" t="inlineStr">
        <is>
          <t>Ranking</t>
        </is>
      </c>
      <c r="B4" s="5" t="inlineStr">
        <is>
          <t>Portafolio</t>
        </is>
      </c>
      <c r="C4" s="5" t="inlineStr">
        <is>
          <t>Puntuación AHP</t>
        </is>
      </c>
      <c r="D4" s="5" t="inlineStr">
        <is>
          <t>Puntuación (%)</t>
        </is>
      </c>
    </row>
    <row r="5">
      <c r="A5" s="8" t="n">
        <v>1</v>
      </c>
      <c r="B5" s="8" t="inlineStr">
        <is>
          <t>P1</t>
        </is>
      </c>
      <c r="C5" s="18" t="n">
        <v>0.2512947520896569</v>
      </c>
      <c r="D5" s="19" t="n">
        <v>25.12947520896569</v>
      </c>
    </row>
    <row r="6">
      <c r="A6" s="7" t="n">
        <v>2</v>
      </c>
      <c r="B6" s="7" t="inlineStr">
        <is>
          <t>P2</t>
        </is>
      </c>
      <c r="C6" s="16" t="n">
        <v>0.2512947520896569</v>
      </c>
      <c r="D6" s="20" t="n">
        <v>25.12947520896569</v>
      </c>
    </row>
    <row r="7">
      <c r="A7" s="6" t="n">
        <v>3</v>
      </c>
      <c r="B7" s="6" t="inlineStr">
        <is>
          <t>P5</t>
        </is>
      </c>
      <c r="C7" s="15" t="n">
        <v>0.2331940777762076</v>
      </c>
      <c r="D7" s="21" t="n">
        <v>23.31940777762076</v>
      </c>
    </row>
    <row r="8">
      <c r="A8" s="7" t="n">
        <v>4</v>
      </c>
      <c r="B8" s="7" t="inlineStr">
        <is>
          <t>P4</t>
        </is>
      </c>
      <c r="C8" s="16" t="n">
        <v>0.1859138425817126</v>
      </c>
      <c r="D8" s="20" t="n">
        <v>18.59138425817126</v>
      </c>
    </row>
    <row r="9">
      <c r="A9" s="6" t="n">
        <v>5</v>
      </c>
      <c r="B9" s="6" t="inlineStr">
        <is>
          <t>P3</t>
        </is>
      </c>
      <c r="C9" s="15" t="n">
        <v>0.0783025754627661</v>
      </c>
      <c r="D9" s="21" t="n">
        <v>7.83025754627661</v>
      </c>
    </row>
    <row r="10"/>
    <row r="11"/>
    <row r="12">
      <c r="A12" s="22" t="inlineStr">
        <is>
          <t>PORTAFOLIO RECOMENDADO: P1 (25.1%)</t>
        </is>
      </c>
    </row>
  </sheetData>
  <mergeCells count="2">
    <mergeCell ref="A1:D1"/>
    <mergeCell ref="A12:D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2026-03-22T16:36:00Z</dcterms:created>
  <dcterms:modified xsi:type="dcterms:W3CDTF">2026-03-22T16:36:00Z</dcterms:modified>
</cp:coreProperties>
</file>